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19" codeName="{EC734049-C954-9101-EBF6-4418645C62D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dick\Dropbox\books\Excel2019Bible\ToEditor\Ch43\"/>
    </mc:Choice>
  </mc:AlternateContent>
  <xr:revisionPtr revIDLastSave="0" documentId="13_ncr:1_{8D692152-02AA-4F15-8FC8-DD075E1885B3}" xr6:coauthVersionLast="32" xr6:coauthVersionMax="32" xr10:uidLastSave="{00000000-0000-0000-0000-000000000000}"/>
  <bookViews>
    <workbookView xWindow="0" yWindow="0" windowWidth="28800" windowHeight="12810" xr2:uid="{00000000-000D-0000-FFFF-FFFF00000000}"/>
  </bookViews>
  <sheets>
    <sheet name="Sheet1" sheetId="1" r:id="rId1"/>
  </sheets>
  <functionGroups builtInGroupCount="19"/>
  <definedNames>
    <definedName name="Data">Sheet1!$P$3:$P$23</definedName>
  </definedNames>
  <calcPr calcId="179017"/>
  <webPublishing codePage="1252"/>
  <extLst>
    <ext xmlns:x14="http://schemas.microsoft.com/office/spreadsheetml/2009/9/main" uri="{8193D73E-4604-4355-AFF4-8A2333D13BE4}">
      <x14:definedNames>
        <x14:definedName name="TopAvg">
          <x14:argumentDescriptions count="2">
            <x14:argumentDescription index="0">The range that contains the data</x14:argumentDescription>
            <x14:argumentDescription index="1">The value of n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1" l="1"/>
  <c r="C3" i="1"/>
  <c r="C4" i="1"/>
  <c r="C5" i="1"/>
  <c r="C6" i="1"/>
  <c r="C8" i="1"/>
  <c r="C2" i="1"/>
  <c r="U4" i="1"/>
  <c r="U5" i="1"/>
  <c r="J4" i="1"/>
  <c r="R4" i="1"/>
  <c r="J7" i="1"/>
  <c r="N6" i="1"/>
  <c r="U6" i="1"/>
  <c r="N7" i="1"/>
  <c r="U7" i="1"/>
  <c r="J8" i="1"/>
  <c r="J6" i="1"/>
  <c r="R5" i="1"/>
  <c r="U3" i="1"/>
  <c r="N5" i="1"/>
  <c r="B5" i="1"/>
  <c r="R6" i="1"/>
  <c r="B2" i="1"/>
  <c r="B4" i="1"/>
  <c r="N4" i="1"/>
  <c r="B7" i="1"/>
  <c r="E2" i="1"/>
  <c r="J5" i="1"/>
  <c r="B6" i="1"/>
  <c r="U2" i="1"/>
  <c r="J3" i="1"/>
  <c r="N3" i="1"/>
  <c r="B3" i="1"/>
  <c r="B8" i="1"/>
  <c r="N8" i="1"/>
  <c r="R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Walkenbach</author>
  </authors>
  <commentList>
    <comment ref="P1" authorId="0" shapeId="0" xr:uid="{00000000-0006-0000-0000-000001000000}">
      <text>
        <r>
          <rPr>
            <sz val="9"/>
            <color indexed="81"/>
            <rFont val="Calibri"/>
            <family val="2"/>
            <scheme val="minor"/>
          </rPr>
          <t>Assigned to the Math &amp; Trig category</t>
        </r>
      </text>
    </comment>
    <comment ref="G2" authorId="0" shapeId="0" xr:uid="{00000000-0006-0000-0000-000002000000}">
      <text>
        <r>
          <rPr>
            <sz val="9"/>
            <color indexed="81"/>
            <rFont val="Calibri"/>
            <family val="2"/>
            <scheme val="minor"/>
          </rPr>
          <t>Remove the initial apostrophe to try the Sayit function.</t>
        </r>
      </text>
    </comment>
  </commentList>
</comments>
</file>

<file path=xl/sharedStrings.xml><?xml version="1.0" encoding="utf-8"?>
<sst xmlns="http://schemas.openxmlformats.org/spreadsheetml/2006/main" count="23" uniqueCount="21">
  <si>
    <t>NumSign</t>
  </si>
  <si>
    <t>Commission</t>
  </si>
  <si>
    <t>Commission2</t>
  </si>
  <si>
    <t>Sales</t>
  </si>
  <si>
    <t>Comm'n</t>
  </si>
  <si>
    <t>Yrs</t>
  </si>
  <si>
    <t>TopAvg</t>
  </si>
  <si>
    <t>Data</t>
  </si>
  <si>
    <t>Top n</t>
  </si>
  <si>
    <t>Avg</t>
  </si>
  <si>
    <t>User</t>
  </si>
  <si>
    <t>SayIt</t>
  </si>
  <si>
    <t>text</t>
  </si>
  <si>
    <t>ExtractElement</t>
  </si>
  <si>
    <t>423-93-9233</t>
  </si>
  <si>
    <t>933-81-0092</t>
  </si>
  <si>
    <t>183-93-3955</t>
  </si>
  <si>
    <t>835-02-8133</t>
  </si>
  <si>
    <t>Joe Smith</t>
  </si>
  <si>
    <t>Linda Miller</t>
  </si>
  <si>
    <t>=Sayit("Hello " &amp;E2)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</si>
</sst>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&quot;$&quot;#,##0.00"/>
    <numFmt numFmtId="165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9"/>
      <color indexed="8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3"/>
      </patternFill>
    </fill>
    <fill>
      <patternFill patternType="solid">
        <fgColor theme="4"/>
        <bgColor indexed="62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3">
    <xf numFmtId="0" fontId="0" fillId="0" borderId="0" xfId="0"/>
    <xf numFmtId="164" fontId="0" fillId="0" borderId="0" xfId="0" applyNumberFormat="1"/>
    <xf numFmtId="0" fontId="2" fillId="0" borderId="0" xfId="0" applyFont="1"/>
    <xf numFmtId="165" fontId="0" fillId="0" borderId="0" xfId="1" applyNumberFormat="1" applyFont="1"/>
    <xf numFmtId="2" fontId="0" fillId="0" borderId="0" xfId="0" applyNumberFormat="1"/>
    <xf numFmtId="0" fontId="0" fillId="0" borderId="0" xfId="0" quotePrefix="1" applyNumberFormat="1"/>
    <xf numFmtId="0" fontId="1" fillId="0" borderId="0" xfId="0" applyFont="1"/>
    <xf numFmtId="0" fontId="0" fillId="0" borderId="0" xfId="0" applyFont="1"/>
    <xf numFmtId="0" fontId="4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3"/>
  <sheetViews>
    <sheetView tabSelected="1" workbookViewId="0">
      <selection activeCell="U4" sqref="U4"/>
    </sheetView>
  </sheetViews>
  <sheetFormatPr defaultRowHeight="15" x14ac:dyDescent="0.25"/>
  <cols>
    <col min="2" max="3" width="10.140625" customWidth="1"/>
    <col min="4" max="4" width="4.28515625" customWidth="1"/>
    <col min="5" max="5" width="17.5703125" customWidth="1"/>
    <col min="6" max="6" width="4.7109375" customWidth="1"/>
    <col min="7" max="7" width="18.7109375" bestFit="1" customWidth="1"/>
    <col min="8" max="8" width="4.7109375" customWidth="1"/>
    <col min="9" max="9" width="12.85546875" customWidth="1"/>
    <col min="10" max="10" width="11.140625" customWidth="1"/>
    <col min="11" max="11" width="3.5703125" customWidth="1"/>
    <col min="12" max="12" width="10.5703125" customWidth="1"/>
    <col min="13" max="13" width="5" customWidth="1"/>
    <col min="14" max="14" width="10.140625" customWidth="1"/>
    <col min="15" max="15" width="3.28515625" customWidth="1"/>
    <col min="16" max="16" width="7" customWidth="1"/>
    <col min="17" max="17" width="7.5703125" customWidth="1"/>
    <col min="18" max="18" width="8.28515625" customWidth="1"/>
    <col min="19" max="19" width="4.28515625" customWidth="1"/>
    <col min="20" max="20" width="16.28515625" customWidth="1"/>
  </cols>
  <sheetData>
    <row r="1" spans="1:22" x14ac:dyDescent="0.25">
      <c r="A1" s="11" t="s">
        <v>0</v>
      </c>
      <c r="B1" s="11"/>
      <c r="C1" s="12"/>
      <c r="D1" s="7"/>
      <c r="E1" s="8" t="s">
        <v>10</v>
      </c>
      <c r="F1" s="7"/>
      <c r="G1" s="9" t="s">
        <v>11</v>
      </c>
      <c r="H1" s="7"/>
      <c r="I1" s="10" t="s">
        <v>1</v>
      </c>
      <c r="J1" s="10"/>
      <c r="K1" s="7"/>
      <c r="L1" s="10" t="s">
        <v>2</v>
      </c>
      <c r="M1" s="10"/>
      <c r="N1" s="10"/>
      <c r="O1" s="7"/>
      <c r="P1" s="10" t="s">
        <v>6</v>
      </c>
      <c r="Q1" s="10"/>
      <c r="R1" s="10"/>
      <c r="S1" s="7"/>
      <c r="T1" s="10" t="s">
        <v>13</v>
      </c>
      <c r="U1" s="10"/>
      <c r="V1" s="10"/>
    </row>
    <row r="2" spans="1:22" x14ac:dyDescent="0.25">
      <c r="A2">
        <v>15</v>
      </c>
      <c r="B2" t="str">
        <f t="shared" ref="B2:B8" si="0">NumSign(A2)</f>
        <v>Positive</v>
      </c>
      <c r="C2" t="str">
        <f>IF(ISNUMBER(A2),IF(A2=0,"Zero",IF(A2&gt;0,"Positive","Negative")),"")</f>
        <v>Positive</v>
      </c>
      <c r="E2" t="str">
        <f>user()</f>
        <v>Dick Kusleika</v>
      </c>
      <c r="G2" s="5" t="s">
        <v>20</v>
      </c>
      <c r="I2" s="2" t="s">
        <v>3</v>
      </c>
      <c r="J2" s="2" t="s">
        <v>4</v>
      </c>
      <c r="L2" s="2" t="s">
        <v>3</v>
      </c>
      <c r="M2" s="2" t="s">
        <v>5</v>
      </c>
      <c r="N2" s="2" t="s">
        <v>4</v>
      </c>
      <c r="P2" s="2" t="s">
        <v>7</v>
      </c>
      <c r="Q2" s="2" t="s">
        <v>8</v>
      </c>
      <c r="R2" s="2" t="s">
        <v>9</v>
      </c>
      <c r="T2" t="s">
        <v>14</v>
      </c>
      <c r="U2" t="str">
        <f>EXTRACTELEMENT(T2,2,"-")</f>
        <v>93</v>
      </c>
    </row>
    <row r="3" spans="1:22" x14ac:dyDescent="0.25">
      <c r="A3">
        <v>-44</v>
      </c>
      <c r="B3" t="str">
        <f t="shared" si="0"/>
        <v>Negative</v>
      </c>
      <c r="C3" t="str">
        <f t="shared" ref="C3:C8" si="1">IF(ISNUMBER(A3),IF(A3=0,"Zero",IF(A3&gt;0,"Positive","Negative")),"")</f>
        <v>Negative</v>
      </c>
      <c r="I3" s="1">
        <v>5090</v>
      </c>
      <c r="J3" s="1">
        <f t="shared" ref="J3:J8" si="2">Commission(I3)</f>
        <v>407.2</v>
      </c>
      <c r="L3" s="1">
        <v>5090</v>
      </c>
      <c r="M3">
        <v>1</v>
      </c>
      <c r="N3" s="1">
        <f t="shared" ref="N3:N8" si="3">Commission2(L3,M3)</f>
        <v>411.27199999999999</v>
      </c>
      <c r="P3">
        <v>977</v>
      </c>
      <c r="Q3" s="3">
        <v>5</v>
      </c>
      <c r="R3" s="4">
        <f>TopAvg(Data,Q3)</f>
        <v>905.8</v>
      </c>
      <c r="T3" t="s">
        <v>15</v>
      </c>
      <c r="U3" t="str">
        <f t="shared" ref="U3:U4" si="4">EXTRACTELEMENT(T3,2,"-")</f>
        <v>81</v>
      </c>
    </row>
    <row r="4" spans="1:22" x14ac:dyDescent="0.25">
      <c r="A4">
        <v>0</v>
      </c>
      <c r="B4" t="str">
        <f t="shared" si="0"/>
        <v>Zero</v>
      </c>
      <c r="C4" t="str">
        <f t="shared" si="1"/>
        <v>Zero</v>
      </c>
      <c r="I4" s="1">
        <v>9833</v>
      </c>
      <c r="J4" s="1">
        <f t="shared" si="2"/>
        <v>786.64</v>
      </c>
      <c r="L4" s="1">
        <v>9833</v>
      </c>
      <c r="M4">
        <v>3</v>
      </c>
      <c r="N4" s="1">
        <f t="shared" si="3"/>
        <v>810.23919999999998</v>
      </c>
      <c r="P4">
        <v>966</v>
      </c>
      <c r="Q4" s="3">
        <v>10</v>
      </c>
      <c r="R4" s="4">
        <f>TopAvg(Data,Q4)</f>
        <v>813.1</v>
      </c>
      <c r="T4" t="s">
        <v>16</v>
      </c>
      <c r="U4" t="str">
        <f>EXTRACTELEMENT(T4,2,"-")</f>
        <v>93</v>
      </c>
    </row>
    <row r="5" spans="1:22" x14ac:dyDescent="0.25">
      <c r="A5">
        <v>43</v>
      </c>
      <c r="B5" t="str">
        <f t="shared" si="0"/>
        <v>Positive</v>
      </c>
      <c r="C5" t="str">
        <f t="shared" si="1"/>
        <v>Positive</v>
      </c>
      <c r="I5" s="1">
        <v>12093</v>
      </c>
      <c r="J5" s="1">
        <f t="shared" si="2"/>
        <v>1269.7649999999999</v>
      </c>
      <c r="L5" s="1">
        <v>12093</v>
      </c>
      <c r="M5">
        <v>5</v>
      </c>
      <c r="N5" s="1">
        <f t="shared" si="3"/>
        <v>1333.2532499999998</v>
      </c>
      <c r="P5">
        <v>943</v>
      </c>
      <c r="Q5" s="3">
        <v>1</v>
      </c>
      <c r="R5" s="4">
        <f>TopAvg(Data,Q5)</f>
        <v>977</v>
      </c>
      <c r="T5" t="s">
        <v>17</v>
      </c>
      <c r="U5" t="str">
        <f>EXTRACTELEMENT(T5,2,"-")</f>
        <v>02</v>
      </c>
    </row>
    <row r="6" spans="1:22" x14ac:dyDescent="0.25">
      <c r="A6">
        <v>6</v>
      </c>
      <c r="B6" t="str">
        <f t="shared" si="0"/>
        <v>Positive</v>
      </c>
      <c r="C6" t="str">
        <f t="shared" si="1"/>
        <v>Positive</v>
      </c>
      <c r="I6" s="1">
        <v>24091</v>
      </c>
      <c r="J6" s="1">
        <f t="shared" si="2"/>
        <v>2890.92</v>
      </c>
      <c r="L6" s="1">
        <v>24091</v>
      </c>
      <c r="M6">
        <v>2</v>
      </c>
      <c r="N6" s="1">
        <f t="shared" si="3"/>
        <v>2948.7384000000002</v>
      </c>
      <c r="P6">
        <v>824</v>
      </c>
      <c r="Q6" s="3">
        <v>21</v>
      </c>
      <c r="R6" s="4">
        <f>TopAvg(Data,Q6)</f>
        <v>616.95238095238096</v>
      </c>
      <c r="T6" t="s">
        <v>18</v>
      </c>
      <c r="U6" t="str">
        <f>EXTRACTELEMENT(T6,1," ")</f>
        <v>Joe</v>
      </c>
    </row>
    <row r="7" spans="1:22" x14ac:dyDescent="0.25">
      <c r="A7" t="s">
        <v>12</v>
      </c>
      <c r="B7" t="str">
        <f>NumSign(A7)</f>
        <v/>
      </c>
      <c r="C7" t="str">
        <f t="shared" si="1"/>
        <v/>
      </c>
      <c r="I7" s="1">
        <v>55090</v>
      </c>
      <c r="J7" s="1">
        <f t="shared" si="2"/>
        <v>7712.6</v>
      </c>
      <c r="L7" s="1">
        <v>55090</v>
      </c>
      <c r="M7">
        <v>8</v>
      </c>
      <c r="N7" s="1">
        <f t="shared" si="3"/>
        <v>8329.6080000000002</v>
      </c>
      <c r="P7">
        <v>819</v>
      </c>
      <c r="Q7" s="1"/>
      <c r="T7" t="s">
        <v>19</v>
      </c>
      <c r="U7" t="str">
        <f>EXTRACTELEMENT(T7,1," ")</f>
        <v>Linda</v>
      </c>
    </row>
    <row r="8" spans="1:22" x14ac:dyDescent="0.25">
      <c r="A8">
        <v>-0.43</v>
      </c>
      <c r="B8" t="str">
        <f t="shared" si="0"/>
        <v>Negative</v>
      </c>
      <c r="C8" t="str">
        <f t="shared" si="1"/>
        <v>Negative</v>
      </c>
      <c r="I8" s="1">
        <v>68721</v>
      </c>
      <c r="J8" s="1">
        <f t="shared" si="2"/>
        <v>9620.94</v>
      </c>
      <c r="L8" s="1">
        <v>68721</v>
      </c>
      <c r="M8">
        <v>12</v>
      </c>
      <c r="N8" s="1">
        <f t="shared" si="3"/>
        <v>10775.452800000001</v>
      </c>
      <c r="P8">
        <v>802</v>
      </c>
      <c r="Q8" s="1"/>
      <c r="T8" s="6"/>
    </row>
    <row r="9" spans="1:22" x14ac:dyDescent="0.25">
      <c r="P9">
        <v>743</v>
      </c>
      <c r="T9" s="6"/>
    </row>
    <row r="10" spans="1:22" x14ac:dyDescent="0.25">
      <c r="P10">
        <v>712</v>
      </c>
    </row>
    <row r="11" spans="1:22" x14ac:dyDescent="0.25">
      <c r="P11">
        <v>675</v>
      </c>
    </row>
    <row r="12" spans="1:22" x14ac:dyDescent="0.25">
      <c r="P12">
        <v>670</v>
      </c>
    </row>
    <row r="13" spans="1:22" x14ac:dyDescent="0.25">
      <c r="P13">
        <v>633</v>
      </c>
    </row>
    <row r="14" spans="1:22" x14ac:dyDescent="0.25">
      <c r="P14">
        <v>617</v>
      </c>
    </row>
    <row r="15" spans="1:22" x14ac:dyDescent="0.25">
      <c r="P15">
        <v>617</v>
      </c>
    </row>
    <row r="16" spans="1:22" x14ac:dyDescent="0.25">
      <c r="P16">
        <v>600</v>
      </c>
    </row>
    <row r="17" spans="16:16" x14ac:dyDescent="0.25">
      <c r="P17">
        <v>557</v>
      </c>
    </row>
    <row r="18" spans="16:16" x14ac:dyDescent="0.25">
      <c r="P18">
        <v>531</v>
      </c>
    </row>
    <row r="19" spans="16:16" x14ac:dyDescent="0.25">
      <c r="P19">
        <v>487</v>
      </c>
    </row>
    <row r="20" spans="16:16" x14ac:dyDescent="0.25">
      <c r="P20">
        <v>327</v>
      </c>
    </row>
    <row r="21" spans="16:16" x14ac:dyDescent="0.25">
      <c r="P21">
        <v>291</v>
      </c>
    </row>
    <row r="22" spans="16:16" x14ac:dyDescent="0.25">
      <c r="P22">
        <v>128</v>
      </c>
    </row>
    <row r="23" spans="16:16" x14ac:dyDescent="0.25">
      <c r="P23">
        <v>37</v>
      </c>
    </row>
  </sheetData>
  <mergeCells count="5">
    <mergeCell ref="L1:N1"/>
    <mergeCell ref="I1:J1"/>
    <mergeCell ref="P1:R1"/>
    <mergeCell ref="T1:V1"/>
    <mergeCell ref="A1:C1"/>
  </mergeCells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2006-11-13T18:33:19Z</outs:dateTime>
      <outs:isPinned>true</outs:isPinned>
    </outs:relatedDate>
    <outs:relatedDate>
      <outs:type>2</outs:type>
      <outs:displayName>Created</outs:displayName>
      <outs:dateTime>1997-02-07T01:47:28Z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8336FEEF-B352-460A-BEBF-EDA9E87A4704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Data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 functions.xlsm</dc:title>
  <dc:subject>Example File</dc:subject>
  <dc:creator>John Walkenbach</dc:creator>
  <cp:keywords> </cp:keywords>
  <dc:description>©2015, John Walkenbach. All Rights Reserved.</dc:description>
  <cp:lastModifiedBy>Dick Kusleika</cp:lastModifiedBy>
  <dcterms:created xsi:type="dcterms:W3CDTF">1997-02-07T01:47:28Z</dcterms:created>
  <dcterms:modified xsi:type="dcterms:W3CDTF">2018-03-27T11:35:51Z</dcterms:modified>
  <cp:category>Excel 2016 Bible</cp:category>
</cp:coreProperties>
</file>